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7c5e00590afd79/Desktop/"/>
    </mc:Choice>
  </mc:AlternateContent>
  <xr:revisionPtr revIDLastSave="0" documentId="8_{BB929B1A-0E21-444C-9281-E4479629727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SI_BreakEven_Solver" sheetId="1" r:id="rId1"/>
    <sheet name="MonteCarlo" sheetId="2" r:id="rId2"/>
    <sheet name="MarketData_WIT_SP500" sheetId="3" r:id="rId3"/>
    <sheet name="Valuation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B22" i="4"/>
  <c r="B21" i="4"/>
  <c r="B20" i="4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I2" i="3"/>
  <c r="J2" i="3" s="1"/>
  <c r="H2" i="3"/>
  <c r="G2" i="2"/>
  <c r="F2" i="2"/>
  <c r="E2" i="2"/>
  <c r="D2" i="2"/>
  <c r="B9" i="1"/>
  <c r="B6" i="1"/>
  <c r="B14" i="1" s="1"/>
  <c r="B5" i="1"/>
  <c r="B10" i="1" s="1"/>
  <c r="B11" i="1" l="1"/>
  <c r="B13" i="1"/>
</calcChain>
</file>

<file path=xl/sharedStrings.xml><?xml version="1.0" encoding="utf-8"?>
<sst xmlns="http://schemas.openxmlformats.org/spreadsheetml/2006/main" count="54" uniqueCount="52">
  <si>
    <t>Selling Price per Unit</t>
  </si>
  <si>
    <t>Raw Materials</t>
  </si>
  <si>
    <t>Labor</t>
  </si>
  <si>
    <t>Unit Overheads</t>
  </si>
  <si>
    <t>Total Variable Cost</t>
  </si>
  <si>
    <t>Contribution Margin</t>
  </si>
  <si>
    <t>Fixed Cost</t>
  </si>
  <si>
    <t>Units (Change for Goal Seek/Solver)</t>
  </si>
  <si>
    <t>Revenue</t>
  </si>
  <si>
    <t>Total Cost</t>
  </si>
  <si>
    <t>Profit</t>
  </si>
  <si>
    <t>Break-even Units (calculated)</t>
  </si>
  <si>
    <t>Units needed for $750,000 Profit (formula)</t>
  </si>
  <si>
    <t>Simulation</t>
  </si>
  <si>
    <t>Minimum Profit</t>
  </si>
  <si>
    <t>Maximum Profit</t>
  </si>
  <si>
    <t>Probability of Profit</t>
  </si>
  <si>
    <t>Risk of Loss</t>
  </si>
  <si>
    <t>Date</t>
  </si>
  <si>
    <t>WIT Close</t>
  </si>
  <si>
    <t>S&amp;P500 Close</t>
  </si>
  <si>
    <t>WIT Return</t>
  </si>
  <si>
    <t>Market Return</t>
  </si>
  <si>
    <t>Variance Market</t>
  </si>
  <si>
    <t>Std Dev Market</t>
  </si>
  <si>
    <t>Covariance</t>
  </si>
  <si>
    <t>Beta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</si>
  <si>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</si>
  <si>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</si>
  <si>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</si>
  <si>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</si>
  <si>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</si>
  <si>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</si>
  <si>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</si>
  <si>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</si>
  <si>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2/12/2026</t>
  </si>
  <si>
    <t>2/13/2026</t>
  </si>
  <si>
    <t>Initial Investment</t>
  </si>
  <si>
    <t>Tax Rate</t>
  </si>
  <si>
    <t>Unlevered Cost of Equity</t>
  </si>
  <si>
    <t>Risk Free Rate</t>
  </si>
  <si>
    <t>Growth Rate</t>
  </si>
  <si>
    <t>Debt</t>
  </si>
  <si>
    <t>Year</t>
  </si>
  <si>
    <t>Expenses</t>
  </si>
  <si>
    <t>Depreciation</t>
  </si>
  <si>
    <t>Capex</t>
  </si>
  <si>
    <t>Working Capital</t>
  </si>
  <si>
    <t>Borrowing</t>
  </si>
  <si>
    <t>FCFF</t>
  </si>
  <si>
    <t>FCFE</t>
  </si>
  <si>
    <t>Residual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</si>
</sst>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Profitability Distribution (Simulation)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MonteCarlo!$B$1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MonteCarlo!$B$2:$B$21</c:f>
              <c:numCache>
                <c:formatCode>General</c:formatCode>
                <c:ptCount val="20"/>
                <c:pt idx="0">
                  <c:v>198856.74032384751</c:v>
                </c:pt>
                <c:pt idx="1">
                  <c:v>199299.23999055629</c:v>
                </c:pt>
                <c:pt idx="2">
                  <c:v>199493.23997874951</c:v>
                </c:pt>
                <c:pt idx="3">
                  <c:v>201101.67658317639</c:v>
                </c:pt>
                <c:pt idx="4">
                  <c:v>200886.38218587069</c:v>
                </c:pt>
                <c:pt idx="5">
                  <c:v>197108.8414911833</c:v>
                </c:pt>
                <c:pt idx="6">
                  <c:v>199632.2360666747</c:v>
                </c:pt>
                <c:pt idx="7">
                  <c:v>199019.70901508181</c:v>
                </c:pt>
                <c:pt idx="8">
                  <c:v>199248.91859236211</c:v>
                </c:pt>
                <c:pt idx="9">
                  <c:v>200133.44749744149</c:v>
                </c:pt>
                <c:pt idx="10">
                  <c:v>200074.57208694861</c:v>
                </c:pt>
                <c:pt idx="11">
                  <c:v>198043.52692578119</c:v>
                </c:pt>
                <c:pt idx="12">
                  <c:v>199820.48416839351</c:v>
                </c:pt>
                <c:pt idx="13">
                  <c:v>198627.32048022421</c:v>
                </c:pt>
                <c:pt idx="14">
                  <c:v>201336.17352510121</c:v>
                </c:pt>
                <c:pt idx="15">
                  <c:v>201161.420203285</c:v>
                </c:pt>
                <c:pt idx="16">
                  <c:v>199725.76198503529</c:v>
                </c:pt>
                <c:pt idx="17">
                  <c:v>197766.9566093809</c:v>
                </c:pt>
                <c:pt idx="18">
                  <c:v>199836.64345243599</c:v>
                </c:pt>
                <c:pt idx="19">
                  <c:v>200965.56179047399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A-40C1-BB3B-C59DFDB2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.Valu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</sheetNames>
    <definedNames>
      <definedName name="S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4" sqref="B4"/>
    </sheetView>
  </sheetViews>
  <sheetFormatPr defaultRowHeight="14.4" x14ac:dyDescent="0.3"/>
  <cols>
    <col min="1" max="1" width="38.5546875" customWidth="1"/>
  </cols>
  <sheetData>
    <row r="1" spans="1:2" x14ac:dyDescent="0.3">
      <c r="A1" s="1" t="s">
        <v>0</v>
      </c>
      <c r="B1">
        <v>134</v>
      </c>
    </row>
    <row r="2" spans="1:2" x14ac:dyDescent="0.3">
      <c r="A2" t="s">
        <v>1</v>
      </c>
      <c r="B2">
        <v>6.5</v>
      </c>
    </row>
    <row r="3" spans="1:2" x14ac:dyDescent="0.3">
      <c r="A3" t="s">
        <v>2</v>
      </c>
      <c r="B3">
        <v>24.75</v>
      </c>
    </row>
    <row r="4" spans="1:2" x14ac:dyDescent="0.3">
      <c r="A4" t="s">
        <v>3</v>
      </c>
      <c r="B4">
        <v>12</v>
      </c>
    </row>
    <row r="5" spans="1:2" x14ac:dyDescent="0.3">
      <c r="A5" t="s">
        <v>4</v>
      </c>
      <c r="B5">
        <f>B2+B3+B4</f>
        <v>43.25</v>
      </c>
    </row>
    <row r="6" spans="1:2" x14ac:dyDescent="0.3">
      <c r="A6" t="s">
        <v>5</v>
      </c>
      <c r="B6">
        <f>B1-B5</f>
        <v>90.75</v>
      </c>
    </row>
    <row r="7" spans="1:2" x14ac:dyDescent="0.3">
      <c r="A7" t="s">
        <v>6</v>
      </c>
      <c r="B7">
        <v>325000</v>
      </c>
    </row>
    <row r="8" spans="1:2" x14ac:dyDescent="0.3">
      <c r="A8" t="s">
        <v>7</v>
      </c>
      <c r="B8">
        <v>1000</v>
      </c>
    </row>
    <row r="9" spans="1:2" x14ac:dyDescent="0.3">
      <c r="A9" t="s">
        <v>8</v>
      </c>
      <c r="B9">
        <f>B8*B1</f>
        <v>134000</v>
      </c>
    </row>
    <row r="10" spans="1:2" x14ac:dyDescent="0.3">
      <c r="A10" t="s">
        <v>9</v>
      </c>
      <c r="B10">
        <f>B7 + B8*B5</f>
        <v>368250</v>
      </c>
    </row>
    <row r="11" spans="1:2" x14ac:dyDescent="0.3">
      <c r="A11" t="s">
        <v>10</v>
      </c>
      <c r="B11">
        <f>B9-B10</f>
        <v>-234250</v>
      </c>
    </row>
    <row r="13" spans="1:2" x14ac:dyDescent="0.3">
      <c r="A13" s="1" t="s">
        <v>11</v>
      </c>
      <c r="B13">
        <f>B7/B6</f>
        <v>3581.2672176308538</v>
      </c>
    </row>
    <row r="14" spans="1:2" x14ac:dyDescent="0.3">
      <c r="A14" s="1" t="s">
        <v>12</v>
      </c>
      <c r="B14">
        <f>(750000+B7)/B6</f>
        <v>11845.73002754821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B2" sqref="B2"/>
    </sheetView>
  </sheetViews>
  <sheetFormatPr defaultRowHeight="14.4" x14ac:dyDescent="0.3"/>
  <cols>
    <col min="1" max="1" width="13.44140625" customWidth="1"/>
    <col min="2" max="2" width="20" customWidth="1"/>
    <col min="4" max="4" width="19.88671875" customWidth="1"/>
    <col min="5" max="5" width="19.44140625" customWidth="1"/>
    <col min="6" max="6" width="20.33203125" customWidth="1"/>
    <col min="7" max="7" width="20" customWidth="1"/>
  </cols>
  <sheetData>
    <row r="1" spans="1:7" x14ac:dyDescent="0.3">
      <c r="A1" s="1" t="s">
        <v>13</v>
      </c>
      <c r="B1" s="1" t="s">
        <v>10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>
        <v>1</v>
      </c>
      <c r="B2">
        <v>198856.74032384751</v>
      </c>
      <c r="D2">
        <f>MIN(B2:B201)</f>
        <v>197108.8414911833</v>
      </c>
      <c r="E2">
        <f>MAX(B2:B201)</f>
        <v>203346.13068420629</v>
      </c>
      <c r="F2">
        <f>COUNTIF(B2:B201,"&gt;0")/200</f>
        <v>1</v>
      </c>
      <c r="G2">
        <f>COUNTIF(B2:B201,"&lt;0")/200</f>
        <v>0</v>
      </c>
    </row>
    <row r="3" spans="1:7" x14ac:dyDescent="0.3">
      <c r="A3">
        <v>2</v>
      </c>
      <c r="B3">
        <v>199299.23999055629</v>
      </c>
    </row>
    <row r="4" spans="1:7" x14ac:dyDescent="0.3">
      <c r="A4">
        <v>3</v>
      </c>
      <c r="B4">
        <v>199493.23997874951</v>
      </c>
    </row>
    <row r="5" spans="1:7" x14ac:dyDescent="0.3">
      <c r="A5">
        <v>4</v>
      </c>
      <c r="B5">
        <v>201101.67658317639</v>
      </c>
    </row>
    <row r="6" spans="1:7" x14ac:dyDescent="0.3">
      <c r="A6">
        <v>5</v>
      </c>
      <c r="B6">
        <v>200886.38218587069</v>
      </c>
    </row>
    <row r="7" spans="1:7" x14ac:dyDescent="0.3">
      <c r="A7">
        <v>6</v>
      </c>
      <c r="B7">
        <v>197108.8414911833</v>
      </c>
    </row>
    <row r="8" spans="1:7" x14ac:dyDescent="0.3">
      <c r="A8">
        <v>7</v>
      </c>
      <c r="B8">
        <v>199632.2360666747</v>
      </c>
    </row>
    <row r="9" spans="1:7" x14ac:dyDescent="0.3">
      <c r="A9">
        <v>8</v>
      </c>
      <c r="B9">
        <v>199019.70901508181</v>
      </c>
    </row>
    <row r="10" spans="1:7" x14ac:dyDescent="0.3">
      <c r="A10">
        <v>9</v>
      </c>
      <c r="B10">
        <v>199248.91859236211</v>
      </c>
    </row>
    <row r="11" spans="1:7" x14ac:dyDescent="0.3">
      <c r="A11">
        <v>10</v>
      </c>
      <c r="B11">
        <v>200133.44749744149</v>
      </c>
    </row>
    <row r="12" spans="1:7" x14ac:dyDescent="0.3">
      <c r="A12">
        <v>11</v>
      </c>
      <c r="B12">
        <v>200074.57208694861</v>
      </c>
    </row>
    <row r="13" spans="1:7" x14ac:dyDescent="0.3">
      <c r="A13">
        <v>12</v>
      </c>
      <c r="B13">
        <v>198043.52692578119</v>
      </c>
    </row>
    <row r="14" spans="1:7" x14ac:dyDescent="0.3">
      <c r="A14">
        <v>13</v>
      </c>
      <c r="B14">
        <v>199820.48416839351</v>
      </c>
    </row>
    <row r="15" spans="1:7" x14ac:dyDescent="0.3">
      <c r="A15">
        <v>14</v>
      </c>
      <c r="B15">
        <v>198627.32048022421</v>
      </c>
    </row>
    <row r="16" spans="1:7" x14ac:dyDescent="0.3">
      <c r="A16">
        <v>15</v>
      </c>
      <c r="B16">
        <v>201336.17352510121</v>
      </c>
    </row>
    <row r="17" spans="1:2" x14ac:dyDescent="0.3">
      <c r="A17">
        <v>16</v>
      </c>
      <c r="B17">
        <v>201161.420203285</v>
      </c>
    </row>
    <row r="18" spans="1:2" x14ac:dyDescent="0.3">
      <c r="A18">
        <v>17</v>
      </c>
      <c r="B18">
        <v>199725.76198503529</v>
      </c>
    </row>
    <row r="19" spans="1:2" x14ac:dyDescent="0.3">
      <c r="A19">
        <v>18</v>
      </c>
      <c r="B19">
        <v>197766.9566093809</v>
      </c>
    </row>
    <row r="20" spans="1:2" x14ac:dyDescent="0.3">
      <c r="A20">
        <v>19</v>
      </c>
      <c r="B20">
        <v>199836.64345243599</v>
      </c>
    </row>
    <row r="21" spans="1:2" x14ac:dyDescent="0.3">
      <c r="A21">
        <v>20</v>
      </c>
      <c r="B21">
        <v>200965.56179047399</v>
      </c>
    </row>
    <row r="22" spans="1:2" x14ac:dyDescent="0.3">
      <c r="A22">
        <v>21</v>
      </c>
      <c r="B22">
        <v>199495.07272924931</v>
      </c>
    </row>
    <row r="23" spans="1:2" x14ac:dyDescent="0.3">
      <c r="A23">
        <v>22</v>
      </c>
      <c r="B23">
        <v>199382.24787977079</v>
      </c>
    </row>
    <row r="24" spans="1:2" x14ac:dyDescent="0.3">
      <c r="A24">
        <v>23</v>
      </c>
      <c r="B24">
        <v>200752.4574650717</v>
      </c>
    </row>
    <row r="25" spans="1:2" x14ac:dyDescent="0.3">
      <c r="A25">
        <v>24</v>
      </c>
      <c r="B25">
        <v>197911.84280900631</v>
      </c>
    </row>
    <row r="26" spans="1:2" x14ac:dyDescent="0.3">
      <c r="A26">
        <v>25</v>
      </c>
      <c r="B26">
        <v>198985.30486226789</v>
      </c>
    </row>
    <row r="27" spans="1:2" x14ac:dyDescent="0.3">
      <c r="A27">
        <v>26</v>
      </c>
      <c r="B27">
        <v>199231.2211407696</v>
      </c>
    </row>
    <row r="28" spans="1:2" x14ac:dyDescent="0.3">
      <c r="A28">
        <v>27</v>
      </c>
      <c r="B28">
        <v>200804.36379011351</v>
      </c>
    </row>
    <row r="29" spans="1:2" x14ac:dyDescent="0.3">
      <c r="A29">
        <v>28</v>
      </c>
      <c r="B29">
        <v>200235.3698678033</v>
      </c>
    </row>
    <row r="30" spans="1:2" x14ac:dyDescent="0.3">
      <c r="A30">
        <v>29</v>
      </c>
      <c r="B30">
        <v>200384.71695847021</v>
      </c>
    </row>
    <row r="31" spans="1:2" x14ac:dyDescent="0.3">
      <c r="A31">
        <v>30</v>
      </c>
      <c r="B31">
        <v>201595.70361419409</v>
      </c>
    </row>
    <row r="32" spans="1:2" x14ac:dyDescent="0.3">
      <c r="A32">
        <v>31</v>
      </c>
      <c r="B32">
        <v>199892.49666702151</v>
      </c>
    </row>
    <row r="33" spans="1:2" x14ac:dyDescent="0.3">
      <c r="A33">
        <v>32</v>
      </c>
      <c r="B33">
        <v>200664.9851528237</v>
      </c>
    </row>
    <row r="34" spans="1:2" x14ac:dyDescent="0.3">
      <c r="A34">
        <v>33</v>
      </c>
      <c r="B34">
        <v>201063.17862635609</v>
      </c>
    </row>
    <row r="35" spans="1:2" x14ac:dyDescent="0.3">
      <c r="A35">
        <v>34</v>
      </c>
      <c r="B35">
        <v>199841.28665165289</v>
      </c>
    </row>
    <row r="36" spans="1:2" x14ac:dyDescent="0.3">
      <c r="A36">
        <v>35</v>
      </c>
      <c r="B36">
        <v>203346.13068420629</v>
      </c>
    </row>
    <row r="37" spans="1:2" x14ac:dyDescent="0.3">
      <c r="A37">
        <v>36</v>
      </c>
      <c r="B37">
        <v>198983.53034141401</v>
      </c>
    </row>
    <row r="38" spans="1:2" x14ac:dyDescent="0.3">
      <c r="A38">
        <v>37</v>
      </c>
      <c r="B38">
        <v>199725.59824369909</v>
      </c>
    </row>
    <row r="39" spans="1:2" x14ac:dyDescent="0.3">
      <c r="A39">
        <v>38</v>
      </c>
      <c r="B39">
        <v>200344.15718957849</v>
      </c>
    </row>
    <row r="40" spans="1:2" x14ac:dyDescent="0.3">
      <c r="A40">
        <v>39</v>
      </c>
      <c r="B40">
        <v>197626.93317062189</v>
      </c>
    </row>
    <row r="41" spans="1:2" x14ac:dyDescent="0.3">
      <c r="A41">
        <v>40</v>
      </c>
      <c r="B41">
        <v>199741.73062164721</v>
      </c>
    </row>
    <row r="42" spans="1:2" x14ac:dyDescent="0.3">
      <c r="A42">
        <v>41</v>
      </c>
      <c r="B42">
        <v>200387.34170022621</v>
      </c>
    </row>
    <row r="43" spans="1:2" x14ac:dyDescent="0.3">
      <c r="A43">
        <v>42</v>
      </c>
      <c r="B43">
        <v>200171.51598149861</v>
      </c>
    </row>
    <row r="44" spans="1:2" x14ac:dyDescent="0.3">
      <c r="A44">
        <v>43</v>
      </c>
      <c r="B44">
        <v>199971.99411339901</v>
      </c>
    </row>
    <row r="45" spans="1:2" x14ac:dyDescent="0.3">
      <c r="A45">
        <v>44</v>
      </c>
      <c r="B45">
        <v>200355.91446116639</v>
      </c>
    </row>
    <row r="46" spans="1:2" x14ac:dyDescent="0.3">
      <c r="A46">
        <v>45</v>
      </c>
      <c r="B46">
        <v>198679.36629190101</v>
      </c>
    </row>
    <row r="47" spans="1:2" x14ac:dyDescent="0.3">
      <c r="A47">
        <v>46</v>
      </c>
      <c r="B47">
        <v>200908.59213884539</v>
      </c>
    </row>
    <row r="48" spans="1:2" x14ac:dyDescent="0.3">
      <c r="A48">
        <v>47</v>
      </c>
      <c r="B48">
        <v>200350.94499235341</v>
      </c>
    </row>
    <row r="49" spans="1:2" x14ac:dyDescent="0.3">
      <c r="A49">
        <v>48</v>
      </c>
      <c r="B49">
        <v>199038.55801156501</v>
      </c>
    </row>
    <row r="50" spans="1:2" x14ac:dyDescent="0.3">
      <c r="A50">
        <v>49</v>
      </c>
      <c r="B50">
        <v>199193.969433555</v>
      </c>
    </row>
    <row r="51" spans="1:2" x14ac:dyDescent="0.3">
      <c r="A51">
        <v>50</v>
      </c>
      <c r="B51">
        <v>201023.20851084331</v>
      </c>
    </row>
    <row r="52" spans="1:2" x14ac:dyDescent="0.3">
      <c r="A52">
        <v>51</v>
      </c>
      <c r="B52">
        <v>198196.21425277411</v>
      </c>
    </row>
    <row r="53" spans="1:2" x14ac:dyDescent="0.3">
      <c r="A53">
        <v>52</v>
      </c>
      <c r="B53">
        <v>200842.7360835654</v>
      </c>
    </row>
    <row r="54" spans="1:2" x14ac:dyDescent="0.3">
      <c r="A54">
        <v>53</v>
      </c>
      <c r="B54">
        <v>199194.70136554979</v>
      </c>
    </row>
    <row r="55" spans="1:2" x14ac:dyDescent="0.3">
      <c r="A55">
        <v>54</v>
      </c>
      <c r="B55">
        <v>198921.27400228221</v>
      </c>
    </row>
    <row r="56" spans="1:2" x14ac:dyDescent="0.3">
      <c r="A56">
        <v>55</v>
      </c>
      <c r="B56">
        <v>201357.7409532801</v>
      </c>
    </row>
    <row r="57" spans="1:2" x14ac:dyDescent="0.3">
      <c r="A57">
        <v>56</v>
      </c>
      <c r="B57">
        <v>199292.74996872639</v>
      </c>
    </row>
    <row r="58" spans="1:2" x14ac:dyDescent="0.3">
      <c r="A58">
        <v>57</v>
      </c>
      <c r="B58">
        <v>199823.99004934271</v>
      </c>
    </row>
    <row r="59" spans="1:2" x14ac:dyDescent="0.3">
      <c r="A59">
        <v>58</v>
      </c>
      <c r="B59">
        <v>200168.6359981141</v>
      </c>
    </row>
    <row r="60" spans="1:2" x14ac:dyDescent="0.3">
      <c r="A60">
        <v>59</v>
      </c>
      <c r="B60">
        <v>199091.64197441851</v>
      </c>
    </row>
    <row r="61" spans="1:2" x14ac:dyDescent="0.3">
      <c r="A61">
        <v>60</v>
      </c>
      <c r="B61">
        <v>199839.1031847157</v>
      </c>
    </row>
    <row r="62" spans="1:2" x14ac:dyDescent="0.3">
      <c r="A62">
        <v>61</v>
      </c>
      <c r="B62">
        <v>200301.09775686151</v>
      </c>
    </row>
    <row r="63" spans="1:2" x14ac:dyDescent="0.3">
      <c r="A63">
        <v>62</v>
      </c>
      <c r="B63">
        <v>198899.20035727861</v>
      </c>
    </row>
    <row r="64" spans="1:2" x14ac:dyDescent="0.3">
      <c r="A64">
        <v>63</v>
      </c>
      <c r="B64">
        <v>197312.03273503209</v>
      </c>
    </row>
    <row r="65" spans="1:2" x14ac:dyDescent="0.3">
      <c r="A65">
        <v>64</v>
      </c>
      <c r="B65">
        <v>201596.71688827081</v>
      </c>
    </row>
    <row r="66" spans="1:2" x14ac:dyDescent="0.3">
      <c r="A66">
        <v>65</v>
      </c>
      <c r="B66">
        <v>198527.1550184763</v>
      </c>
    </row>
    <row r="67" spans="1:2" x14ac:dyDescent="0.3">
      <c r="A67">
        <v>66</v>
      </c>
      <c r="B67">
        <v>199528.3921063033</v>
      </c>
    </row>
    <row r="68" spans="1:2" x14ac:dyDescent="0.3">
      <c r="A68">
        <v>67</v>
      </c>
      <c r="B68">
        <v>200896.12033002169</v>
      </c>
    </row>
    <row r="69" spans="1:2" x14ac:dyDescent="0.3">
      <c r="A69">
        <v>68</v>
      </c>
      <c r="B69">
        <v>200865.02351176669</v>
      </c>
    </row>
    <row r="70" spans="1:2" x14ac:dyDescent="0.3">
      <c r="A70">
        <v>69</v>
      </c>
      <c r="B70">
        <v>199061.8757007677</v>
      </c>
    </row>
    <row r="71" spans="1:2" x14ac:dyDescent="0.3">
      <c r="A71">
        <v>70</v>
      </c>
      <c r="B71">
        <v>201660.19430924769</v>
      </c>
    </row>
    <row r="72" spans="1:2" x14ac:dyDescent="0.3">
      <c r="A72">
        <v>71</v>
      </c>
      <c r="B72">
        <v>198386.40472250289</v>
      </c>
    </row>
    <row r="73" spans="1:2" x14ac:dyDescent="0.3">
      <c r="A73">
        <v>72</v>
      </c>
      <c r="B73">
        <v>199855.81190237249</v>
      </c>
    </row>
    <row r="74" spans="1:2" x14ac:dyDescent="0.3">
      <c r="A74">
        <v>73</v>
      </c>
      <c r="B74">
        <v>199469.9557168748</v>
      </c>
    </row>
    <row r="75" spans="1:2" x14ac:dyDescent="0.3">
      <c r="A75">
        <v>74</v>
      </c>
      <c r="B75">
        <v>202771.30048770981</v>
      </c>
    </row>
    <row r="76" spans="1:2" x14ac:dyDescent="0.3">
      <c r="A76">
        <v>75</v>
      </c>
      <c r="B76">
        <v>200021.80853471349</v>
      </c>
    </row>
    <row r="77" spans="1:2" x14ac:dyDescent="0.3">
      <c r="A77">
        <v>76</v>
      </c>
      <c r="B77">
        <v>201268.22588263769</v>
      </c>
    </row>
    <row r="78" spans="1:2" x14ac:dyDescent="0.3">
      <c r="A78">
        <v>77</v>
      </c>
      <c r="B78">
        <v>199045.24587577581</v>
      </c>
    </row>
    <row r="79" spans="1:2" x14ac:dyDescent="0.3">
      <c r="A79">
        <v>78</v>
      </c>
      <c r="B79">
        <v>198713.23396775051</v>
      </c>
    </row>
    <row r="80" spans="1:2" x14ac:dyDescent="0.3">
      <c r="A80">
        <v>79</v>
      </c>
      <c r="B80">
        <v>201982.02265381161</v>
      </c>
    </row>
    <row r="81" spans="1:2" x14ac:dyDescent="0.3">
      <c r="A81">
        <v>80</v>
      </c>
      <c r="B81">
        <v>200497.87483481731</v>
      </c>
    </row>
    <row r="82" spans="1:2" x14ac:dyDescent="0.3">
      <c r="A82">
        <v>81</v>
      </c>
      <c r="B82">
        <v>199123.66039037009</v>
      </c>
    </row>
    <row r="83" spans="1:2" x14ac:dyDescent="0.3">
      <c r="A83">
        <v>82</v>
      </c>
      <c r="B83">
        <v>198588.61507003731</v>
      </c>
    </row>
    <row r="84" spans="1:2" x14ac:dyDescent="0.3">
      <c r="A84">
        <v>83</v>
      </c>
      <c r="B84">
        <v>199177.230932554</v>
      </c>
    </row>
    <row r="85" spans="1:2" x14ac:dyDescent="0.3">
      <c r="A85">
        <v>84</v>
      </c>
      <c r="B85">
        <v>201357.30571010269</v>
      </c>
    </row>
    <row r="86" spans="1:2" x14ac:dyDescent="0.3">
      <c r="A86">
        <v>85</v>
      </c>
      <c r="B86">
        <v>200692.09762845311</v>
      </c>
    </row>
    <row r="87" spans="1:2" x14ac:dyDescent="0.3">
      <c r="A87">
        <v>86</v>
      </c>
      <c r="B87">
        <v>199940.91808679409</v>
      </c>
    </row>
    <row r="88" spans="1:2" x14ac:dyDescent="0.3">
      <c r="A88">
        <v>87</v>
      </c>
      <c r="B88">
        <v>198432.3575377448</v>
      </c>
    </row>
    <row r="89" spans="1:2" x14ac:dyDescent="0.3">
      <c r="A89">
        <v>88</v>
      </c>
      <c r="B89">
        <v>198801.78833490569</v>
      </c>
    </row>
    <row r="90" spans="1:2" x14ac:dyDescent="0.3">
      <c r="A90">
        <v>89</v>
      </c>
      <c r="B90">
        <v>202861.58160453569</v>
      </c>
    </row>
    <row r="91" spans="1:2" x14ac:dyDescent="0.3">
      <c r="A91">
        <v>90</v>
      </c>
      <c r="B91">
        <v>200613.41091927851</v>
      </c>
    </row>
    <row r="92" spans="1:2" x14ac:dyDescent="0.3">
      <c r="A92">
        <v>91</v>
      </c>
      <c r="B92">
        <v>201998.07911351751</v>
      </c>
    </row>
    <row r="93" spans="1:2" x14ac:dyDescent="0.3">
      <c r="A93">
        <v>92</v>
      </c>
      <c r="B93">
        <v>200627.60546251881</v>
      </c>
    </row>
    <row r="94" spans="1:2" x14ac:dyDescent="0.3">
      <c r="A94">
        <v>93</v>
      </c>
      <c r="B94">
        <v>198996.21585003071</v>
      </c>
    </row>
    <row r="95" spans="1:2" x14ac:dyDescent="0.3">
      <c r="A95">
        <v>94</v>
      </c>
      <c r="B95">
        <v>199984.81924843471</v>
      </c>
    </row>
    <row r="96" spans="1:2" x14ac:dyDescent="0.3">
      <c r="A96">
        <v>95</v>
      </c>
      <c r="B96">
        <v>199352.4957801534</v>
      </c>
    </row>
    <row r="97" spans="1:2" x14ac:dyDescent="0.3">
      <c r="A97">
        <v>96</v>
      </c>
      <c r="B97">
        <v>200712.06536553349</v>
      </c>
    </row>
    <row r="98" spans="1:2" x14ac:dyDescent="0.3">
      <c r="A98">
        <v>97</v>
      </c>
      <c r="B98">
        <v>200759.89030273899</v>
      </c>
    </row>
    <row r="99" spans="1:2" x14ac:dyDescent="0.3">
      <c r="A99">
        <v>98</v>
      </c>
      <c r="B99">
        <v>198206.59107356181</v>
      </c>
    </row>
    <row r="100" spans="1:2" x14ac:dyDescent="0.3">
      <c r="A100">
        <v>99</v>
      </c>
      <c r="B100">
        <v>200126.49375591031</v>
      </c>
    </row>
    <row r="101" spans="1:2" x14ac:dyDescent="0.3">
      <c r="A101">
        <v>100</v>
      </c>
      <c r="B101">
        <v>198748.17137383029</v>
      </c>
    </row>
    <row r="102" spans="1:2" x14ac:dyDescent="0.3">
      <c r="A102">
        <v>101</v>
      </c>
      <c r="B102">
        <v>200121.20468479811</v>
      </c>
    </row>
    <row r="103" spans="1:2" x14ac:dyDescent="0.3">
      <c r="A103">
        <v>102</v>
      </c>
      <c r="B103">
        <v>199579.1679316347</v>
      </c>
    </row>
    <row r="104" spans="1:2" x14ac:dyDescent="0.3">
      <c r="A104">
        <v>103</v>
      </c>
      <c r="B104">
        <v>202153.80060603461</v>
      </c>
    </row>
    <row r="105" spans="1:2" x14ac:dyDescent="0.3">
      <c r="A105">
        <v>104</v>
      </c>
      <c r="B105">
        <v>200549.243350089</v>
      </c>
    </row>
    <row r="106" spans="1:2" x14ac:dyDescent="0.3">
      <c r="A106">
        <v>105</v>
      </c>
      <c r="B106">
        <v>198839.95550221889</v>
      </c>
    </row>
    <row r="107" spans="1:2" x14ac:dyDescent="0.3">
      <c r="A107">
        <v>106</v>
      </c>
      <c r="B107">
        <v>200978.67417559461</v>
      </c>
    </row>
    <row r="108" spans="1:2" x14ac:dyDescent="0.3">
      <c r="A108">
        <v>107</v>
      </c>
      <c r="B108">
        <v>199438.84873259609</v>
      </c>
    </row>
    <row r="109" spans="1:2" x14ac:dyDescent="0.3">
      <c r="A109">
        <v>108</v>
      </c>
      <c r="B109">
        <v>199948.60201189981</v>
      </c>
    </row>
    <row r="110" spans="1:2" x14ac:dyDescent="0.3">
      <c r="A110">
        <v>109</v>
      </c>
      <c r="B110">
        <v>199190.8917061635</v>
      </c>
    </row>
    <row r="111" spans="1:2" x14ac:dyDescent="0.3">
      <c r="A111">
        <v>110</v>
      </c>
      <c r="B111">
        <v>201525.9522210029</v>
      </c>
    </row>
    <row r="112" spans="1:2" x14ac:dyDescent="0.3">
      <c r="A112">
        <v>111</v>
      </c>
      <c r="B112">
        <v>199079.91396495709</v>
      </c>
    </row>
    <row r="113" spans="1:2" x14ac:dyDescent="0.3">
      <c r="A113">
        <v>112</v>
      </c>
      <c r="B113">
        <v>200027.77767661761</v>
      </c>
    </row>
    <row r="114" spans="1:2" x14ac:dyDescent="0.3">
      <c r="A114">
        <v>113</v>
      </c>
      <c r="B114">
        <v>200914.16216490741</v>
      </c>
    </row>
    <row r="115" spans="1:2" x14ac:dyDescent="0.3">
      <c r="A115">
        <v>114</v>
      </c>
      <c r="B115">
        <v>200831.09986975821</v>
      </c>
    </row>
    <row r="116" spans="1:2" x14ac:dyDescent="0.3">
      <c r="A116">
        <v>115</v>
      </c>
      <c r="B116">
        <v>199986.063089306</v>
      </c>
    </row>
    <row r="117" spans="1:2" x14ac:dyDescent="0.3">
      <c r="A117">
        <v>116</v>
      </c>
      <c r="B117">
        <v>199731.10712497841</v>
      </c>
    </row>
    <row r="118" spans="1:2" x14ac:dyDescent="0.3">
      <c r="A118">
        <v>117</v>
      </c>
      <c r="B118">
        <v>200946.36750504089</v>
      </c>
    </row>
    <row r="119" spans="1:2" x14ac:dyDescent="0.3">
      <c r="A119">
        <v>118</v>
      </c>
      <c r="B119">
        <v>198911.11441279421</v>
      </c>
    </row>
    <row r="120" spans="1:2" x14ac:dyDescent="0.3">
      <c r="A120">
        <v>119</v>
      </c>
      <c r="B120">
        <v>198460.9350994282</v>
      </c>
    </row>
    <row r="121" spans="1:2" x14ac:dyDescent="0.3">
      <c r="A121">
        <v>120</v>
      </c>
      <c r="B121">
        <v>201562.77927835131</v>
      </c>
    </row>
    <row r="122" spans="1:2" x14ac:dyDescent="0.3">
      <c r="A122">
        <v>121</v>
      </c>
      <c r="B122">
        <v>200987.0898411785</v>
      </c>
    </row>
    <row r="123" spans="1:2" x14ac:dyDescent="0.3">
      <c r="A123">
        <v>122</v>
      </c>
      <c r="B123">
        <v>198878.64369074049</v>
      </c>
    </row>
    <row r="124" spans="1:2" x14ac:dyDescent="0.3">
      <c r="A124">
        <v>123</v>
      </c>
      <c r="B124">
        <v>197668.28864398639</v>
      </c>
    </row>
    <row r="125" spans="1:2" x14ac:dyDescent="0.3">
      <c r="A125">
        <v>124</v>
      </c>
      <c r="B125">
        <v>200238.84743120361</v>
      </c>
    </row>
    <row r="126" spans="1:2" x14ac:dyDescent="0.3">
      <c r="A126">
        <v>125</v>
      </c>
      <c r="B126">
        <v>200396.6119342357</v>
      </c>
    </row>
    <row r="127" spans="1:2" x14ac:dyDescent="0.3">
      <c r="A127">
        <v>126</v>
      </c>
      <c r="B127">
        <v>198860.27388882259</v>
      </c>
    </row>
    <row r="128" spans="1:2" x14ac:dyDescent="0.3">
      <c r="A128">
        <v>127</v>
      </c>
      <c r="B128">
        <v>199364.44967066051</v>
      </c>
    </row>
    <row r="129" spans="1:2" x14ac:dyDescent="0.3">
      <c r="A129">
        <v>128</v>
      </c>
      <c r="B129">
        <v>199074.34103363051</v>
      </c>
    </row>
    <row r="130" spans="1:2" x14ac:dyDescent="0.3">
      <c r="A130">
        <v>129</v>
      </c>
      <c r="B130">
        <v>201982.21936355019</v>
      </c>
    </row>
    <row r="131" spans="1:2" x14ac:dyDescent="0.3">
      <c r="A131">
        <v>130</v>
      </c>
      <c r="B131">
        <v>200876.30046200409</v>
      </c>
    </row>
    <row r="132" spans="1:2" x14ac:dyDescent="0.3">
      <c r="A132">
        <v>131</v>
      </c>
      <c r="B132">
        <v>199139.2413189564</v>
      </c>
    </row>
    <row r="133" spans="1:2" x14ac:dyDescent="0.3">
      <c r="A133">
        <v>132</v>
      </c>
      <c r="B133">
        <v>200489.25535281861</v>
      </c>
    </row>
    <row r="134" spans="1:2" x14ac:dyDescent="0.3">
      <c r="A134">
        <v>133</v>
      </c>
      <c r="B134">
        <v>199633.58523677621</v>
      </c>
    </row>
    <row r="135" spans="1:2" x14ac:dyDescent="0.3">
      <c r="A135">
        <v>134</v>
      </c>
      <c r="B135">
        <v>199147.0298683173</v>
      </c>
    </row>
    <row r="136" spans="1:2" x14ac:dyDescent="0.3">
      <c r="A136">
        <v>135</v>
      </c>
      <c r="B136">
        <v>199598.82415552961</v>
      </c>
    </row>
    <row r="137" spans="1:2" x14ac:dyDescent="0.3">
      <c r="A137">
        <v>136</v>
      </c>
      <c r="B137">
        <v>200367.50599288379</v>
      </c>
    </row>
    <row r="138" spans="1:2" x14ac:dyDescent="0.3">
      <c r="A138">
        <v>137</v>
      </c>
      <c r="B138">
        <v>198566.58075596171</v>
      </c>
    </row>
    <row r="139" spans="1:2" x14ac:dyDescent="0.3">
      <c r="A139">
        <v>138</v>
      </c>
      <c r="B139">
        <v>198927.8300526524</v>
      </c>
    </row>
    <row r="140" spans="1:2" x14ac:dyDescent="0.3">
      <c r="A140">
        <v>139</v>
      </c>
      <c r="B140">
        <v>199238.2807929345</v>
      </c>
    </row>
    <row r="141" spans="1:2" x14ac:dyDescent="0.3">
      <c r="A141">
        <v>140</v>
      </c>
      <c r="B141">
        <v>198744.7175903327</v>
      </c>
    </row>
    <row r="142" spans="1:2" x14ac:dyDescent="0.3">
      <c r="A142">
        <v>141</v>
      </c>
      <c r="B142">
        <v>201216.159334745</v>
      </c>
    </row>
    <row r="143" spans="1:2" x14ac:dyDescent="0.3">
      <c r="A143">
        <v>142</v>
      </c>
      <c r="B143">
        <v>200582.81075340451</v>
      </c>
    </row>
    <row r="144" spans="1:2" x14ac:dyDescent="0.3">
      <c r="A144">
        <v>143</v>
      </c>
      <c r="B144">
        <v>200365.33284968339</v>
      </c>
    </row>
    <row r="145" spans="1:2" x14ac:dyDescent="0.3">
      <c r="A145">
        <v>144</v>
      </c>
      <c r="B145">
        <v>200878.44361170349</v>
      </c>
    </row>
    <row r="146" spans="1:2" x14ac:dyDescent="0.3">
      <c r="A146">
        <v>145</v>
      </c>
      <c r="B146">
        <v>199695.25261576401</v>
      </c>
    </row>
    <row r="147" spans="1:2" x14ac:dyDescent="0.3">
      <c r="A147">
        <v>146</v>
      </c>
      <c r="B147">
        <v>199386.29372806509</v>
      </c>
    </row>
    <row r="148" spans="1:2" x14ac:dyDescent="0.3">
      <c r="A148">
        <v>147</v>
      </c>
      <c r="B148">
        <v>200553.56799901309</v>
      </c>
    </row>
    <row r="149" spans="1:2" x14ac:dyDescent="0.3">
      <c r="A149">
        <v>148</v>
      </c>
      <c r="B149">
        <v>200303.22989316241</v>
      </c>
    </row>
    <row r="150" spans="1:2" x14ac:dyDescent="0.3">
      <c r="A150">
        <v>149</v>
      </c>
      <c r="B150">
        <v>200955.09420756661</v>
      </c>
    </row>
    <row r="151" spans="1:2" x14ac:dyDescent="0.3">
      <c r="A151">
        <v>150</v>
      </c>
      <c r="B151">
        <v>199321.64432834889</v>
      </c>
    </row>
    <row r="152" spans="1:2" x14ac:dyDescent="0.3">
      <c r="A152">
        <v>151</v>
      </c>
      <c r="B152">
        <v>197553.5951740038</v>
      </c>
    </row>
    <row r="153" spans="1:2" x14ac:dyDescent="0.3">
      <c r="A153">
        <v>152</v>
      </c>
      <c r="B153">
        <v>200707.65906110519</v>
      </c>
    </row>
    <row r="154" spans="1:2" x14ac:dyDescent="0.3">
      <c r="A154">
        <v>153</v>
      </c>
      <c r="B154">
        <v>198915.61804392151</v>
      </c>
    </row>
    <row r="155" spans="1:2" x14ac:dyDescent="0.3">
      <c r="A155">
        <v>154</v>
      </c>
      <c r="B155">
        <v>197546.0270918475</v>
      </c>
    </row>
    <row r="156" spans="1:2" x14ac:dyDescent="0.3">
      <c r="A156">
        <v>155</v>
      </c>
      <c r="B156">
        <v>199462.13381002651</v>
      </c>
    </row>
    <row r="157" spans="1:2" x14ac:dyDescent="0.3">
      <c r="A157">
        <v>156</v>
      </c>
      <c r="B157">
        <v>199051.94479980471</v>
      </c>
    </row>
    <row r="158" spans="1:2" x14ac:dyDescent="0.3">
      <c r="A158">
        <v>157</v>
      </c>
      <c r="B158">
        <v>199578.66038287181</v>
      </c>
    </row>
    <row r="159" spans="1:2" x14ac:dyDescent="0.3">
      <c r="A159">
        <v>158</v>
      </c>
      <c r="B159">
        <v>201813.48806394971</v>
      </c>
    </row>
    <row r="160" spans="1:2" x14ac:dyDescent="0.3">
      <c r="A160">
        <v>159</v>
      </c>
      <c r="B160">
        <v>199194.87916084239</v>
      </c>
    </row>
    <row r="161" spans="1:2" x14ac:dyDescent="0.3">
      <c r="A161">
        <v>160</v>
      </c>
      <c r="B161">
        <v>198926.03357513191</v>
      </c>
    </row>
    <row r="162" spans="1:2" x14ac:dyDescent="0.3">
      <c r="A162">
        <v>161</v>
      </c>
      <c r="B162">
        <v>200525.35138760679</v>
      </c>
    </row>
    <row r="163" spans="1:2" x14ac:dyDescent="0.3">
      <c r="A163">
        <v>162</v>
      </c>
      <c r="B163">
        <v>201817.90899295319</v>
      </c>
    </row>
    <row r="164" spans="1:2" x14ac:dyDescent="0.3">
      <c r="A164">
        <v>163</v>
      </c>
      <c r="B164">
        <v>199019.9403139223</v>
      </c>
    </row>
    <row r="165" spans="1:2" x14ac:dyDescent="0.3">
      <c r="A165">
        <v>164</v>
      </c>
      <c r="B165">
        <v>200500.77026119831</v>
      </c>
    </row>
    <row r="166" spans="1:2" x14ac:dyDescent="0.3">
      <c r="A166">
        <v>165</v>
      </c>
      <c r="B166">
        <v>198851.62438997629</v>
      </c>
    </row>
    <row r="167" spans="1:2" x14ac:dyDescent="0.3">
      <c r="A167">
        <v>166</v>
      </c>
      <c r="B167">
        <v>201867.58455001991</v>
      </c>
    </row>
    <row r="168" spans="1:2" x14ac:dyDescent="0.3">
      <c r="A168">
        <v>167</v>
      </c>
      <c r="B168">
        <v>200826.79780283841</v>
      </c>
    </row>
    <row r="169" spans="1:2" x14ac:dyDescent="0.3">
      <c r="A169">
        <v>168</v>
      </c>
      <c r="B169">
        <v>198448.41420772509</v>
      </c>
    </row>
    <row r="170" spans="1:2" x14ac:dyDescent="0.3">
      <c r="A170">
        <v>169</v>
      </c>
      <c r="B170">
        <v>200788.3604733808</v>
      </c>
    </row>
    <row r="171" spans="1:2" x14ac:dyDescent="0.3">
      <c r="A171">
        <v>170</v>
      </c>
      <c r="B171">
        <v>200529.13683212391</v>
      </c>
    </row>
    <row r="172" spans="1:2" x14ac:dyDescent="0.3">
      <c r="A172">
        <v>171</v>
      </c>
      <c r="B172">
        <v>199994.61371692101</v>
      </c>
    </row>
    <row r="173" spans="1:2" x14ac:dyDescent="0.3">
      <c r="A173">
        <v>172</v>
      </c>
      <c r="B173">
        <v>202857.73033327179</v>
      </c>
    </row>
    <row r="174" spans="1:2" x14ac:dyDescent="0.3">
      <c r="A174">
        <v>173</v>
      </c>
      <c r="B174">
        <v>199912.12002258809</v>
      </c>
    </row>
    <row r="175" spans="1:2" x14ac:dyDescent="0.3">
      <c r="A175">
        <v>174</v>
      </c>
      <c r="B175">
        <v>197796.90198941311</v>
      </c>
    </row>
    <row r="176" spans="1:2" x14ac:dyDescent="0.3">
      <c r="A176">
        <v>175</v>
      </c>
      <c r="B176">
        <v>200716.5299108928</v>
      </c>
    </row>
    <row r="177" spans="1:2" x14ac:dyDescent="0.3">
      <c r="A177">
        <v>176</v>
      </c>
      <c r="B177">
        <v>200016.11065553399</v>
      </c>
    </row>
    <row r="178" spans="1:2" x14ac:dyDescent="0.3">
      <c r="A178">
        <v>177</v>
      </c>
      <c r="B178">
        <v>202486.57869927559</v>
      </c>
    </row>
    <row r="179" spans="1:2" x14ac:dyDescent="0.3">
      <c r="A179">
        <v>178</v>
      </c>
      <c r="B179">
        <v>200861.96116061261</v>
      </c>
    </row>
    <row r="180" spans="1:2" x14ac:dyDescent="0.3">
      <c r="A180">
        <v>179</v>
      </c>
      <c r="B180">
        <v>200186.2004154039</v>
      </c>
    </row>
    <row r="181" spans="1:2" x14ac:dyDescent="0.3">
      <c r="A181">
        <v>180</v>
      </c>
      <c r="B181">
        <v>200349.41114545241</v>
      </c>
    </row>
    <row r="182" spans="1:2" x14ac:dyDescent="0.3">
      <c r="A182">
        <v>181</v>
      </c>
      <c r="B182">
        <v>198833.68419374441</v>
      </c>
    </row>
    <row r="183" spans="1:2" x14ac:dyDescent="0.3">
      <c r="A183">
        <v>182</v>
      </c>
      <c r="B183">
        <v>200441.77222730211</v>
      </c>
    </row>
    <row r="184" spans="1:2" x14ac:dyDescent="0.3">
      <c r="A184">
        <v>183</v>
      </c>
      <c r="B184">
        <v>198163.1330827502</v>
      </c>
    </row>
    <row r="185" spans="1:2" x14ac:dyDescent="0.3">
      <c r="A185">
        <v>184</v>
      </c>
      <c r="B185">
        <v>199995.5697208528</v>
      </c>
    </row>
    <row r="186" spans="1:2" x14ac:dyDescent="0.3">
      <c r="A186">
        <v>185</v>
      </c>
      <c r="B186">
        <v>198407.7763689124</v>
      </c>
    </row>
    <row r="187" spans="1:2" x14ac:dyDescent="0.3">
      <c r="A187">
        <v>186</v>
      </c>
      <c r="B187">
        <v>199925.41549229581</v>
      </c>
    </row>
    <row r="188" spans="1:2" x14ac:dyDescent="0.3">
      <c r="A188">
        <v>187</v>
      </c>
      <c r="B188">
        <v>201265.83901888831</v>
      </c>
    </row>
    <row r="189" spans="1:2" x14ac:dyDescent="0.3">
      <c r="A189">
        <v>188</v>
      </c>
      <c r="B189">
        <v>198472.7824353186</v>
      </c>
    </row>
    <row r="190" spans="1:2" x14ac:dyDescent="0.3">
      <c r="A190">
        <v>189</v>
      </c>
      <c r="B190">
        <v>201944.67591476519</v>
      </c>
    </row>
    <row r="191" spans="1:2" x14ac:dyDescent="0.3">
      <c r="A191">
        <v>190</v>
      </c>
      <c r="B191">
        <v>201093.88612690201</v>
      </c>
    </row>
    <row r="192" spans="1:2" x14ac:dyDescent="0.3">
      <c r="A192">
        <v>191</v>
      </c>
      <c r="B192">
        <v>199713.55084988131</v>
      </c>
    </row>
    <row r="193" spans="1:2" x14ac:dyDescent="0.3">
      <c r="A193">
        <v>192</v>
      </c>
      <c r="B193">
        <v>201469.31766969059</v>
      </c>
    </row>
    <row r="194" spans="1:2" x14ac:dyDescent="0.3">
      <c r="A194">
        <v>193</v>
      </c>
      <c r="B194">
        <v>200707.33622123479</v>
      </c>
    </row>
    <row r="195" spans="1:2" x14ac:dyDescent="0.3">
      <c r="A195">
        <v>194</v>
      </c>
      <c r="B195">
        <v>200875.6805820243</v>
      </c>
    </row>
    <row r="196" spans="1:2" x14ac:dyDescent="0.3">
      <c r="A196">
        <v>195</v>
      </c>
      <c r="B196">
        <v>201631.57141091261</v>
      </c>
    </row>
    <row r="197" spans="1:2" x14ac:dyDescent="0.3">
      <c r="A197">
        <v>196</v>
      </c>
      <c r="B197">
        <v>200982.5190279634</v>
      </c>
    </row>
    <row r="198" spans="1:2" x14ac:dyDescent="0.3">
      <c r="A198">
        <v>197</v>
      </c>
      <c r="B198">
        <v>198561.6494823517</v>
      </c>
    </row>
    <row r="199" spans="1:2" x14ac:dyDescent="0.3">
      <c r="A199">
        <v>198</v>
      </c>
      <c r="B199">
        <v>199966.20878371931</v>
      </c>
    </row>
    <row r="200" spans="1:2" x14ac:dyDescent="0.3">
      <c r="A200">
        <v>199</v>
      </c>
      <c r="B200">
        <v>201062.56074305551</v>
      </c>
    </row>
    <row r="201" spans="1:2" x14ac:dyDescent="0.3">
      <c r="A201">
        <v>200</v>
      </c>
      <c r="B201">
        <v>202130.73815026801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B1" sqref="B1:B1048576"/>
    </sheetView>
  </sheetViews>
  <sheetFormatPr defaultRowHeight="14.4" x14ac:dyDescent="0.3"/>
  <cols>
    <col min="7" max="7" width="19.33203125" customWidth="1"/>
    <col min="8" max="8" width="19.21875" customWidth="1"/>
    <col min="9" max="9" width="19.77734375" customWidth="1"/>
  </cols>
  <sheetData>
    <row r="1" spans="1:1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">
      <c r="A2" t="s">
        <v>27</v>
      </c>
      <c r="G2" t="e">
        <f ca="1">[1]!S(E3:E11)</f>
        <v>#NAME?</v>
      </c>
      <c r="H2" t="e">
        <f ca="1">_xludf.STDEV.S(E3:E11)</f>
        <v>#NAME?</v>
      </c>
      <c r="I2" t="e">
        <f ca="1">_xludf.COVARIANCE.S(D3:D11,E3:E11)</f>
        <v>#NAME?</v>
      </c>
      <c r="J2" t="e">
        <f ca="1">I2/G2</f>
        <v>#NAME?</v>
      </c>
    </row>
    <row r="3" spans="1:10" x14ac:dyDescent="0.3">
      <c r="A3" t="s">
        <v>28</v>
      </c>
      <c r="D3" t="e">
        <f t="shared" ref="D3:D11" si="0">(B3-B2)/B2</f>
        <v>#DIV/0!</v>
      </c>
      <c r="E3" t="e">
        <f t="shared" ref="E3:E11" si="1">(C3-C2)/C2</f>
        <v>#DIV/0!</v>
      </c>
    </row>
    <row r="4" spans="1:10" x14ac:dyDescent="0.3">
      <c r="A4" t="s">
        <v>29</v>
      </c>
      <c r="D4" t="e">
        <f t="shared" si="0"/>
        <v>#DIV/0!</v>
      </c>
      <c r="E4" t="e">
        <f t="shared" si="1"/>
        <v>#DIV/0!</v>
      </c>
    </row>
    <row r="5" spans="1:10" x14ac:dyDescent="0.3">
      <c r="A5" t="s">
        <v>30</v>
      </c>
      <c r="D5" t="e">
        <f t="shared" si="0"/>
        <v>#DIV/0!</v>
      </c>
      <c r="E5" t="e">
        <f t="shared" si="1"/>
        <v>#DIV/0!</v>
      </c>
    </row>
    <row r="6" spans="1:10" x14ac:dyDescent="0.3">
      <c r="A6" t="s">
        <v>31</v>
      </c>
      <c r="D6" t="e">
        <f t="shared" si="0"/>
        <v>#DIV/0!</v>
      </c>
      <c r="E6" t="e">
        <f t="shared" si="1"/>
        <v>#DIV/0!</v>
      </c>
    </row>
    <row r="7" spans="1:10" x14ac:dyDescent="0.3">
      <c r="A7" t="s">
        <v>32</v>
      </c>
      <c r="D7" t="e">
        <f t="shared" si="0"/>
        <v>#DIV/0!</v>
      </c>
      <c r="E7" t="e">
        <f t="shared" si="1"/>
        <v>#DIV/0!</v>
      </c>
    </row>
    <row r="8" spans="1:10" x14ac:dyDescent="0.3">
      <c r="A8" t="s">
        <v>33</v>
      </c>
      <c r="D8" t="e">
        <f t="shared" si="0"/>
        <v>#DIV/0!</v>
      </c>
      <c r="E8" t="e">
        <f t="shared" si="1"/>
        <v>#DIV/0!</v>
      </c>
    </row>
    <row r="9" spans="1:10" x14ac:dyDescent="0.3">
      <c r="A9" t="s">
        <v>34</v>
      </c>
      <c r="D9" t="e">
        <f t="shared" si="0"/>
        <v>#DIV/0!</v>
      </c>
      <c r="E9" t="e">
        <f t="shared" si="1"/>
        <v>#DIV/0!</v>
      </c>
    </row>
    <row r="10" spans="1:10" x14ac:dyDescent="0.3">
      <c r="A10" t="s">
        <v>35</v>
      </c>
      <c r="D10" t="e">
        <f t="shared" si="0"/>
        <v>#DIV/0!</v>
      </c>
      <c r="E10" t="e">
        <f t="shared" si="1"/>
        <v>#DIV/0!</v>
      </c>
    </row>
    <row r="11" spans="1:10" x14ac:dyDescent="0.3">
      <c r="A11" t="s">
        <v>36</v>
      </c>
      <c r="D11" t="e">
        <f t="shared" si="0"/>
        <v>#DIV/0!</v>
      </c>
      <c r="E11" t="e">
        <f t="shared" si="1"/>
        <v>#DIV/0!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tabSelected="1" workbookViewId="0"/>
  </sheetViews>
  <sheetFormatPr defaultRowHeight="14.4" x14ac:dyDescent="0.3"/>
  <cols>
    <col min="4" max="4" width="16.109375" customWidth="1"/>
    <col min="6" max="6" width="20.21875" customWidth="1"/>
  </cols>
  <sheetData>
    <row r="1" spans="1:7" x14ac:dyDescent="0.3">
      <c r="A1" t="s">
        <v>37</v>
      </c>
      <c r="B1">
        <v>890000</v>
      </c>
    </row>
    <row r="2" spans="1:7" x14ac:dyDescent="0.3">
      <c r="A2" t="s">
        <v>38</v>
      </c>
      <c r="B2">
        <v>0.35</v>
      </c>
    </row>
    <row r="3" spans="1:7" x14ac:dyDescent="0.3">
      <c r="A3" t="s">
        <v>39</v>
      </c>
      <c r="B3">
        <v>9.5000000000000001E-2</v>
      </c>
    </row>
    <row r="4" spans="1:7" x14ac:dyDescent="0.3">
      <c r="A4" t="s">
        <v>40</v>
      </c>
      <c r="B4">
        <v>0.03</v>
      </c>
    </row>
    <row r="5" spans="1:7" x14ac:dyDescent="0.3">
      <c r="A5" t="s">
        <v>41</v>
      </c>
      <c r="B5">
        <v>4.4999999999999998E-2</v>
      </c>
    </row>
    <row r="6" spans="1:7" x14ac:dyDescent="0.3">
      <c r="A6" t="s">
        <v>42</v>
      </c>
      <c r="B6">
        <v>270000</v>
      </c>
    </row>
    <row r="10" spans="1:7" x14ac:dyDescent="0.3">
      <c r="A10" s="1" t="s">
        <v>43</v>
      </c>
      <c r="B10" s="1" t="s">
        <v>8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</row>
    <row r="11" spans="1:7" x14ac:dyDescent="0.3">
      <c r="A11">
        <v>-1</v>
      </c>
      <c r="B11">
        <v>610000</v>
      </c>
      <c r="C11">
        <v>420000</v>
      </c>
      <c r="D11">
        <v>60000</v>
      </c>
      <c r="E11">
        <v>65000</v>
      </c>
      <c r="F11">
        <v>13000</v>
      </c>
      <c r="G11">
        <v>5000</v>
      </c>
    </row>
    <row r="12" spans="1:7" x14ac:dyDescent="0.3">
      <c r="A12">
        <v>-2</v>
      </c>
      <c r="B12">
        <v>660000</v>
      </c>
      <c r="C12">
        <v>425000</v>
      </c>
      <c r="D12">
        <v>60000</v>
      </c>
      <c r="E12">
        <v>65000</v>
      </c>
      <c r="F12">
        <v>13000</v>
      </c>
      <c r="G12">
        <v>5000</v>
      </c>
    </row>
    <row r="13" spans="1:7" x14ac:dyDescent="0.3">
      <c r="A13">
        <v>-3</v>
      </c>
      <c r="B13">
        <v>690000</v>
      </c>
      <c r="C13">
        <v>435000</v>
      </c>
      <c r="D13">
        <v>60000</v>
      </c>
      <c r="E13">
        <v>65000</v>
      </c>
      <c r="F13">
        <v>13000</v>
      </c>
      <c r="G13">
        <v>5000</v>
      </c>
    </row>
    <row r="14" spans="1:7" x14ac:dyDescent="0.3">
      <c r="A14">
        <v>-4</v>
      </c>
      <c r="B14">
        <v>715000</v>
      </c>
      <c r="C14">
        <v>460000</v>
      </c>
      <c r="D14">
        <v>60000</v>
      </c>
      <c r="E14">
        <v>65000</v>
      </c>
      <c r="F14">
        <v>13000</v>
      </c>
      <c r="G14">
        <v>5000</v>
      </c>
    </row>
    <row r="15" spans="1:7" x14ac:dyDescent="0.3">
      <c r="A15">
        <v>-5</v>
      </c>
      <c r="B15">
        <v>725000</v>
      </c>
      <c r="C15">
        <v>470000</v>
      </c>
      <c r="D15">
        <v>60000</v>
      </c>
      <c r="E15">
        <v>65000</v>
      </c>
      <c r="F15">
        <v>13000</v>
      </c>
      <c r="G15">
        <v>5000</v>
      </c>
    </row>
    <row r="16" spans="1:7" x14ac:dyDescent="0.3">
      <c r="A16">
        <v>-6</v>
      </c>
      <c r="B16">
        <v>810000</v>
      </c>
      <c r="C16">
        <v>475000</v>
      </c>
      <c r="D16">
        <v>60000</v>
      </c>
      <c r="E16">
        <v>65000</v>
      </c>
      <c r="F16">
        <v>13000</v>
      </c>
      <c r="G16">
        <v>5000</v>
      </c>
    </row>
    <row r="20" spans="1:2" x14ac:dyDescent="0.3">
      <c r="A20" t="s">
        <v>49</v>
      </c>
      <c r="B20">
        <f>(B11-C11-D11)*(1-$B$2)+D11-E11-F11</f>
        <v>66500</v>
      </c>
    </row>
    <row r="21" spans="1:2" x14ac:dyDescent="0.3">
      <c r="A21" t="s">
        <v>50</v>
      </c>
      <c r="B21">
        <f>(B11-C11-D11)*(1-$B$2)+D11-E11-F11+G11</f>
        <v>71500</v>
      </c>
    </row>
    <row r="22" spans="1:2" x14ac:dyDescent="0.3">
      <c r="A22" t="s">
        <v>51</v>
      </c>
      <c r="B22">
        <f>(B11-C11)*(1-$B$2) - ($B$3*$B$1)</f>
        <v>38950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FSI_BreakEven_Solver</vt:lpstr>
      <vt:lpstr>MonteCarlo</vt:lpstr>
      <vt:lpstr>MarketData_WIT_SP500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Rushitha Galidevara</cp:lastModifiedBy>
  <dcterms:created xsi:type="dcterms:W3CDTF">2026-03-14T21:10:58Z</dcterms:created>
  <dcterms:modified xsi:type="dcterms:W3CDTF">2026-03-14T23:31:35Z</dcterms:modified>
</cp:coreProperties>
</file>